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user\Documents\"/>
    </mc:Choice>
  </mc:AlternateContent>
  <xr:revisionPtr revIDLastSave="0" documentId="8_{8E0C813B-BF56-4F42-B8CD-1234BF859B00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Crédito Educativo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13" i="1" l="1"/>
  <c r="F13" i="1" s="1"/>
  <c r="D13" i="1"/>
  <c r="E12" i="1"/>
  <c r="F12" i="1" s="1"/>
  <c r="D12" i="1"/>
  <c r="E11" i="1"/>
  <c r="F11" i="1" s="1"/>
  <c r="D11" i="1"/>
  <c r="F6" i="1"/>
  <c r="E6" i="1"/>
  <c r="D6" i="1"/>
  <c r="D5" i="1"/>
  <c r="E5" i="1" s="1"/>
  <c r="F5" i="1" s="1"/>
  <c r="D4" i="1"/>
  <c r="E4" i="1" s="1"/>
  <c r="F4" i="1" s="1"/>
</calcChain>
</file>

<file path=xl/sharedStrings.xml><?xml version="1.0" encoding="utf-8"?>
<sst xmlns="http://schemas.openxmlformats.org/spreadsheetml/2006/main" count="39" uniqueCount="27">
  <si>
    <t>CASOS NORMALES</t>
  </si>
  <si>
    <t>Valor de la Compra</t>
  </si>
  <si>
    <t>Tasa de Interés Mensual</t>
  </si>
  <si>
    <t>Plazo (meses)</t>
  </si>
  <si>
    <t>Cuota Mensual</t>
  </si>
  <si>
    <t>Total Abonos</t>
  </si>
  <si>
    <t>Total Intereses</t>
  </si>
  <si>
    <t>CASOS EXTRAORDINARIOS</t>
  </si>
  <si>
    <t>CASOS DE ERROR</t>
  </si>
  <si>
    <t>ERROR: Valor debe ser mayor a 0</t>
  </si>
  <si>
    <t>ERROR: Tasa demasiado alta</t>
  </si>
  <si>
    <t>ERROR: Plazo máximo 120 meses</t>
  </si>
  <si>
    <t>ERROR: Plazo inválido</t>
  </si>
  <si>
    <t>ERROR: Datos incompletos</t>
  </si>
  <si>
    <t>ENTRADAS</t>
  </si>
  <si>
    <t>SALIDAS</t>
  </si>
  <si>
    <t>Crédito Educativo Estándar a Mediano Plazo</t>
  </si>
  <si>
    <t>Crédito Educativo Bancario Tradicional</t>
  </si>
  <si>
    <t>Financiación Directa Institucional</t>
  </si>
  <si>
    <t>Error por Valor del Crédito Inválido</t>
  </si>
  <si>
    <t>Error por Tasa de Interés Fuera de Parámetro</t>
  </si>
  <si>
    <t>Error por Plazo Superior al Máximo Permitido</t>
  </si>
  <si>
    <t>Error por Plazo Negativo o Nulo</t>
  </si>
  <si>
    <t>Error por Datos Incompletos</t>
  </si>
  <si>
    <t>Crédito Educativo con Periodo de Gracia Extendida</t>
  </si>
  <si>
    <t>Crédito Educativo con Tasa Subsidiada</t>
  </si>
  <si>
    <t>Crédito Educativo con Pago Anticipado sin Penalización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</si>
</sst>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$&quot;#,##0"/>
  </numFmts>
  <fonts count="6" x14ac:knownFonts="1">
    <font>
      <sz val="11"/>
      <color theme="1"/>
      <name val="Calibri"/>
      <family val="2"/>
      <scheme val="minor"/>
    </font>
    <font>
      <b/>
      <sz val="14"/>
      <name val="Calibri"/>
      <family val="2"/>
    </font>
    <font>
      <b/>
      <sz val="11"/>
      <name val="Calibri"/>
      <family val="2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8" tint="0.39997558519241921"/>
        <bgColor indexed="64"/>
      </patternFill>
    </fill>
    <fill>
      <patternFill patternType="solid">
        <fgColor theme="6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2" fillId="0" borderId="1" xfId="0" applyFont="1" applyBorder="1" applyAlignment="1">
      <alignment horizontal="center"/>
    </xf>
    <xf numFmtId="164" fontId="0" fillId="0" borderId="1" xfId="0" applyNumberFormat="1" applyBorder="1"/>
    <xf numFmtId="10" fontId="0" fillId="0" borderId="1" xfId="0" applyNumberFormat="1" applyBorder="1"/>
    <xf numFmtId="0" fontId="0" fillId="0" borderId="1" xfId="0" applyBorder="1"/>
    <xf numFmtId="0" fontId="5" fillId="2" borderId="0" xfId="0" applyFont="1" applyFill="1" applyAlignment="1">
      <alignment horizontal="center"/>
    </xf>
    <xf numFmtId="0" fontId="5" fillId="3" borderId="0" xfId="0" applyFont="1" applyFill="1"/>
    <xf numFmtId="0" fontId="0" fillId="3" borderId="0" xfId="0" applyFill="1"/>
    <xf numFmtId="0" fontId="0" fillId="2" borderId="0" xfId="0" applyFill="1"/>
    <xf numFmtId="0" fontId="1" fillId="2" borderId="0" xfId="0" applyFont="1" applyFill="1"/>
    <xf numFmtId="0" fontId="4" fillId="0" borderId="0" xfId="0" applyFont="1"/>
    <xf numFmtId="0" fontId="3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22"/>
  <sheetViews>
    <sheetView tabSelected="1" workbookViewId="0">
      <selection activeCell="A4" sqref="A4"/>
    </sheetView>
  </sheetViews>
  <sheetFormatPr baseColWidth="10" defaultColWidth="9.140625" defaultRowHeight="15" x14ac:dyDescent="0.25"/>
  <cols>
    <col min="1" max="6" width="22" customWidth="1"/>
  </cols>
  <sheetData>
    <row r="1" spans="1:12" ht="23.25" x14ac:dyDescent="0.35">
      <c r="A1" s="9" t="s">
        <v>0</v>
      </c>
      <c r="B1" s="5" t="s">
        <v>14</v>
      </c>
      <c r="C1" s="8"/>
      <c r="D1" s="7"/>
      <c r="E1" s="6" t="s">
        <v>15</v>
      </c>
      <c r="F1" s="7"/>
    </row>
    <row r="2" spans="1:12" x14ac:dyDescent="0.25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</row>
    <row r="3" spans="1:12" x14ac:dyDescent="0.25">
      <c r="A3" s="1"/>
      <c r="B3" s="1"/>
      <c r="C3" s="1"/>
      <c r="D3" s="1"/>
      <c r="E3" s="1"/>
      <c r="F3" s="1"/>
    </row>
    <row r="4" spans="1:12" ht="15.75" x14ac:dyDescent="0.25">
      <c r="A4" s="2">
        <v>20000000</v>
      </c>
      <c r="B4" s="3">
        <v>1.2E-2</v>
      </c>
      <c r="C4" s="4">
        <v>60</v>
      </c>
      <c r="D4" s="2">
        <f>PMT(B4,C4,-A4)</f>
        <v>469522.90636607108</v>
      </c>
      <c r="E4" s="2">
        <f>D4*C4</f>
        <v>28171374.381964266</v>
      </c>
      <c r="F4" s="2">
        <f>E4-A4</f>
        <v>8171374.3819642663</v>
      </c>
      <c r="G4" s="10" t="s">
        <v>16</v>
      </c>
      <c r="H4" s="10"/>
      <c r="I4" s="10"/>
      <c r="J4" s="10"/>
      <c r="K4" s="11"/>
    </row>
    <row r="5" spans="1:12" ht="15.75" x14ac:dyDescent="0.25">
      <c r="A5" s="2">
        <v>35000000</v>
      </c>
      <c r="B5" s="3">
        <v>1.4999999999999999E-2</v>
      </c>
      <c r="C5" s="4">
        <v>72</v>
      </c>
      <c r="D5" s="2">
        <f>PMT(B5,C5,-A5)</f>
        <v>798272.68800518673</v>
      </c>
      <c r="E5" s="2">
        <f>D5*C5</f>
        <v>57475633.536373444</v>
      </c>
      <c r="F5" s="2">
        <f>E5-A5</f>
        <v>22475633.536373444</v>
      </c>
      <c r="G5" s="10" t="s">
        <v>17</v>
      </c>
      <c r="H5" s="10"/>
      <c r="I5" s="10"/>
      <c r="J5" s="10"/>
      <c r="K5" s="11"/>
    </row>
    <row r="6" spans="1:12" ht="15.75" x14ac:dyDescent="0.25">
      <c r="A6" s="2">
        <v>15000000</v>
      </c>
      <c r="B6" s="3">
        <v>0.01</v>
      </c>
      <c r="C6" s="4">
        <v>48</v>
      </c>
      <c r="D6" s="2">
        <f>PMT(B6,C6,-A6)</f>
        <v>395007.53147891647</v>
      </c>
      <c r="E6" s="2">
        <f>D6*C6</f>
        <v>18960361.51098799</v>
      </c>
      <c r="F6" s="2">
        <f>E6-A6</f>
        <v>3960361.5109879896</v>
      </c>
      <c r="G6" s="10" t="s">
        <v>18</v>
      </c>
      <c r="H6" s="10"/>
      <c r="I6" s="10"/>
      <c r="J6" s="10"/>
      <c r="K6" s="11"/>
    </row>
    <row r="8" spans="1:12" ht="18.75" x14ac:dyDescent="0.3">
      <c r="A8" s="9" t="s">
        <v>7</v>
      </c>
      <c r="B8" s="8"/>
      <c r="C8" s="8"/>
      <c r="D8" s="7"/>
      <c r="E8" s="7"/>
      <c r="F8" s="7"/>
    </row>
    <row r="9" spans="1:12" x14ac:dyDescent="0.25">
      <c r="A9" t="s">
        <v>1</v>
      </c>
      <c r="B9" t="s">
        <v>2</v>
      </c>
      <c r="C9" t="s">
        <v>3</v>
      </c>
      <c r="D9" t="s">
        <v>4</v>
      </c>
      <c r="E9" t="s">
        <v>5</v>
      </c>
      <c r="F9" t="s">
        <v>6</v>
      </c>
    </row>
    <row r="10" spans="1:12" x14ac:dyDescent="0.25">
      <c r="A10" s="1"/>
      <c r="B10" s="1"/>
      <c r="C10" s="1"/>
      <c r="D10" s="1"/>
      <c r="E10" s="1"/>
      <c r="F10" s="1"/>
    </row>
    <row r="11" spans="1:12" ht="15.75" x14ac:dyDescent="0.25">
      <c r="A11" s="2">
        <v>25000000</v>
      </c>
      <c r="B11" s="3">
        <v>8.9999999999999993E-3</v>
      </c>
      <c r="C11" s="4">
        <v>96</v>
      </c>
      <c r="D11" s="2">
        <f>PMT(B11,C11,-A11)</f>
        <v>390018.90429966175</v>
      </c>
      <c r="E11" s="2">
        <f>D11*C11</f>
        <v>37441814.812767528</v>
      </c>
      <c r="F11" s="2">
        <f>E11-A11</f>
        <v>12441814.812767528</v>
      </c>
      <c r="G11" s="10" t="s">
        <v>24</v>
      </c>
      <c r="H11" s="10"/>
      <c r="I11" s="10"/>
      <c r="J11" s="10"/>
      <c r="K11" s="10"/>
      <c r="L11" s="10"/>
    </row>
    <row r="12" spans="1:12" ht="15.75" x14ac:dyDescent="0.25">
      <c r="A12" s="2">
        <v>18000000</v>
      </c>
      <c r="B12" s="3">
        <v>8.0000000000000002E-3</v>
      </c>
      <c r="C12" s="4">
        <v>60</v>
      </c>
      <c r="D12" s="2">
        <f>PMT(B12,C12,-A12)</f>
        <v>378913.75134452264</v>
      </c>
      <c r="E12" s="2">
        <f>D12*C12</f>
        <v>22734825.080671359</v>
      </c>
      <c r="F12" s="2">
        <f>E12-A12</f>
        <v>4734825.0806713589</v>
      </c>
      <c r="G12" s="10" t="s">
        <v>25</v>
      </c>
      <c r="H12" s="10"/>
      <c r="I12" s="10"/>
      <c r="J12" s="10"/>
      <c r="K12" s="10"/>
      <c r="L12" s="10"/>
    </row>
    <row r="13" spans="1:12" ht="15.75" x14ac:dyDescent="0.25">
      <c r="A13" s="2">
        <v>22000000</v>
      </c>
      <c r="B13" s="3">
        <v>1.2999999999999999E-2</v>
      </c>
      <c r="C13" s="4">
        <v>36</v>
      </c>
      <c r="D13" s="2">
        <f>PMT(B13,C13,-A13)</f>
        <v>769117.17362320609</v>
      </c>
      <c r="E13" s="2">
        <f>D13*C13</f>
        <v>27688218.250435419</v>
      </c>
      <c r="F13" s="2">
        <f>E13-A13</f>
        <v>5688218.2504354194</v>
      </c>
      <c r="G13" s="10" t="s">
        <v>26</v>
      </c>
      <c r="H13" s="10"/>
      <c r="I13" s="10"/>
      <c r="J13" s="10"/>
      <c r="K13" s="10"/>
      <c r="L13" s="10"/>
    </row>
    <row r="15" spans="1:12" ht="18.75" x14ac:dyDescent="0.3">
      <c r="A15" s="9" t="s">
        <v>8</v>
      </c>
      <c r="B15" s="8"/>
      <c r="C15" s="8"/>
      <c r="D15" s="7"/>
      <c r="E15" s="7"/>
      <c r="F15" s="7"/>
    </row>
    <row r="16" spans="1:12" x14ac:dyDescent="0.25">
      <c r="A16" t="s">
        <v>1</v>
      </c>
      <c r="B16" t="s">
        <v>2</v>
      </c>
      <c r="C16" t="s">
        <v>3</v>
      </c>
      <c r="D16" t="s">
        <v>4</v>
      </c>
      <c r="E16" t="s">
        <v>5</v>
      </c>
      <c r="F16" t="s">
        <v>6</v>
      </c>
    </row>
    <row r="17" spans="1:7" x14ac:dyDescent="0.25">
      <c r="A17" s="1"/>
      <c r="B17" s="1"/>
      <c r="C17" s="1"/>
      <c r="D17" s="1"/>
      <c r="E17" s="1"/>
      <c r="F17" s="1"/>
    </row>
    <row r="18" spans="1:7" ht="15.75" x14ac:dyDescent="0.25">
      <c r="A18">
        <v>-10000000</v>
      </c>
      <c r="B18">
        <v>1.2E-2</v>
      </c>
      <c r="C18">
        <v>60</v>
      </c>
      <c r="D18" t="s">
        <v>9</v>
      </c>
      <c r="G18" s="10" t="s">
        <v>19</v>
      </c>
    </row>
    <row r="19" spans="1:7" ht="15.75" x14ac:dyDescent="0.25">
      <c r="A19">
        <v>20000000</v>
      </c>
      <c r="B19">
        <v>0.08</v>
      </c>
      <c r="C19">
        <v>60</v>
      </c>
      <c r="D19" t="s">
        <v>10</v>
      </c>
      <c r="G19" s="10" t="s">
        <v>20</v>
      </c>
    </row>
    <row r="20" spans="1:7" ht="15.75" x14ac:dyDescent="0.25">
      <c r="A20">
        <v>20000000</v>
      </c>
      <c r="B20">
        <v>1.2E-2</v>
      </c>
      <c r="C20">
        <v>200</v>
      </c>
      <c r="D20" t="s">
        <v>11</v>
      </c>
      <c r="G20" s="10" t="s">
        <v>21</v>
      </c>
    </row>
    <row r="21" spans="1:7" ht="15.75" x14ac:dyDescent="0.25">
      <c r="A21">
        <v>20000000</v>
      </c>
      <c r="B21">
        <v>1.2E-2</v>
      </c>
      <c r="C21">
        <v>-12</v>
      </c>
      <c r="D21" t="s">
        <v>12</v>
      </c>
      <c r="G21" s="10" t="s">
        <v>22</v>
      </c>
    </row>
    <row r="22" spans="1:7" ht="15.75" x14ac:dyDescent="0.25">
      <c r="D22" t="s">
        <v>13</v>
      </c>
      <c r="G22" s="10" t="s">
        <v>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Crédito Educativo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Jhairo Esteban Muñeton Cortes</cp:lastModifiedBy>
  <dcterms:created xsi:type="dcterms:W3CDTF">2026-02-13T01:40:44Z</dcterms:created>
  <dcterms:modified xsi:type="dcterms:W3CDTF">2026-02-13T02:11:50Z</dcterms:modified>
</cp:coreProperties>
</file>